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ythicsana-my.sharepoint.com/personal/info_downtownsuites_mythic_sanahotels_com/Documents/Night Auditor/Vários/Aplicação/Github/ChecklistApp/"/>
    </mc:Choice>
  </mc:AlternateContent>
  <xr:revisionPtr revIDLastSave="338" documentId="11_9CD7481080C4552A941F5A76C504E9503659EA23" xr6:coauthVersionLast="47" xr6:coauthVersionMax="47" xr10:uidLastSave="{4AB37375-7BA5-4FE6-A0C3-C704076ABFF7}"/>
  <bookViews>
    <workbookView xWindow="-103" yWindow="-103" windowWidth="24892" windowHeight="15943" activeTab="1" xr2:uid="{00000000-000D-0000-FFFF-FFFF00000000}"/>
  </bookViews>
  <sheets>
    <sheet name="Valores" sheetId="1" r:id="rId1"/>
    <sheet name="Envelop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B1" i="2" s="1"/>
  <c r="B4" i="2"/>
  <c r="C16" i="1"/>
  <c r="B6" i="2" s="1"/>
  <c r="B9" i="2" s="1"/>
  <c r="B5" i="2"/>
</calcChain>
</file>

<file path=xl/sharedStrings.xml><?xml version="1.0" encoding="utf-8"?>
<sst xmlns="http://schemas.openxmlformats.org/spreadsheetml/2006/main" count="31" uniqueCount="28">
  <si>
    <t>GASTROBAR</t>
  </si>
  <si>
    <t>Pequeno Almoço</t>
  </si>
  <si>
    <t>Almoço</t>
  </si>
  <si>
    <t>Jantar</t>
  </si>
  <si>
    <t>BUTLERS</t>
  </si>
  <si>
    <r>
      <rPr>
        <sz val="12"/>
        <color rgb="FF3E3E3E"/>
        <rFont val="Gill Sans Nova Light"/>
        <family val="2"/>
      </rPr>
      <t>RECECÇÃO</t>
    </r>
  </si>
  <si>
    <r>
      <rPr>
        <sz val="12"/>
        <color rgb="FF3E3E3E"/>
        <rFont val="Gill Sans Nova Light"/>
        <family val="2"/>
      </rPr>
      <t>Noite</t>
    </r>
  </si>
  <si>
    <r>
      <rPr>
        <sz val="12"/>
        <color rgb="FF3E3E3E"/>
        <rFont val="Gill Sans Nova Light"/>
        <family val="2"/>
      </rPr>
      <t>Manhã</t>
    </r>
  </si>
  <si>
    <r>
      <rPr>
        <sz val="12"/>
        <color rgb="FF3E3E3E"/>
        <rFont val="Gill Sans Nova Light"/>
        <family val="2"/>
      </rPr>
      <t>Tarde</t>
    </r>
  </si>
  <si>
    <t xml:space="preserve"> </t>
  </si>
  <si>
    <t>TOTAL</t>
  </si>
  <si>
    <r>
      <rPr>
        <b/>
        <sz val="9.5"/>
        <color rgb="FF3E3E3E"/>
        <rFont val="Gill Sans Nova Light"/>
        <family val="2"/>
      </rPr>
      <t>TURNO</t>
    </r>
  </si>
  <si>
    <r>
      <rPr>
        <b/>
        <sz val="9.5"/>
        <color rgb="FF3E3E3E"/>
        <rFont val="Gill Sans Nova Light"/>
        <family val="2"/>
      </rPr>
      <t>VALOR</t>
    </r>
  </si>
  <si>
    <r>
      <rPr>
        <b/>
        <sz val="9.5"/>
        <color rgb="FF3E3E3E"/>
        <rFont val="Gill Sans Nova Light"/>
        <family val="2"/>
      </rPr>
      <t>RUBRICA</t>
    </r>
  </si>
  <si>
    <r>
      <rPr>
        <b/>
        <sz val="9.5"/>
        <color rgb="FF3E3E3E"/>
        <rFont val="Gill Sans Nova Light"/>
        <family val="2"/>
      </rPr>
      <t>TESTEMUNHA</t>
    </r>
  </si>
  <si>
    <t>Depósito de Valores no Cofre                                     05/04/2026</t>
  </si>
  <si>
    <t>Maurílio Jr.</t>
  </si>
  <si>
    <t>DATA:</t>
  </si>
  <si>
    <t>DEPÓSITO:</t>
  </si>
  <si>
    <t>F.O</t>
  </si>
  <si>
    <t>F&amp;B</t>
  </si>
  <si>
    <t>TOTAL:</t>
  </si>
  <si>
    <t>PAIDOUTS:</t>
  </si>
  <si>
    <t>OBSERVAÇÕES:</t>
  </si>
  <si>
    <t>ASSINATURA:</t>
  </si>
  <si>
    <t xml:space="preserve">DEPÓSITO DO DIA: </t>
  </si>
  <si>
    <t>-</t>
  </si>
  <si>
    <r>
      <t xml:space="preserve">CONFERIDO POR: </t>
    </r>
    <r>
      <rPr>
        <b/>
        <u/>
        <sz val="9.5"/>
        <rFont val="Gill Sans Nova Light"/>
        <family val="2"/>
      </rPr>
      <t>MAURÍLIO JUNIOR</t>
    </r>
    <r>
      <rPr>
        <b/>
        <sz val="9.5"/>
        <rFont val="Gill Sans Nova Light"/>
        <family val="2"/>
      </rPr>
      <t xml:space="preserve">
NÚMERO DE ENVELOPES CAIXA: </t>
    </r>
    <r>
      <rPr>
        <b/>
        <u/>
        <sz val="9.5"/>
        <rFont val="Gill Sans Nova Light"/>
        <family val="2"/>
      </rPr>
      <t>1</t>
    </r>
    <r>
      <rPr>
        <b/>
        <sz val="9.5"/>
        <rFont val="Gill Sans Nova Light"/>
        <family val="2"/>
      </rPr>
      <t xml:space="preserve">
TESTEMUNHA: GUILHERME ALVARENGA
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</si>
</sst>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44" formatCode="_-* #,##0.00\ &quot;€&quot;_-;\-* #,##0.00\ &quot;€&quot;_-;_-* &quot;-&quot;??\ &quot;€&quot;_-;_-@_-"/>
  </numFmts>
  <fonts count="17" x14ac:knownFonts="1">
    <font>
      <sz val="10"/>
      <color rgb="FF000000"/>
      <name val="Times New Roman"/>
      <charset val="204"/>
    </font>
    <font>
      <sz val="12"/>
      <name val="Gill Sans Nova Light"/>
      <family val="2"/>
    </font>
    <font>
      <sz val="12"/>
      <color rgb="FF3E3E3E"/>
      <name val="Gill Sans Nova Light"/>
      <family val="2"/>
    </font>
    <font>
      <sz val="10"/>
      <color rgb="FF000000"/>
      <name val="Gill Sans Nova Light"/>
      <family val="2"/>
    </font>
    <font>
      <b/>
      <sz val="12"/>
      <color rgb="FF000000"/>
      <name val="Gill Sans Nova Light"/>
      <family val="2"/>
    </font>
    <font>
      <b/>
      <sz val="9.5"/>
      <name val="Gill Sans Nova Light"/>
      <family val="2"/>
    </font>
    <font>
      <b/>
      <u/>
      <sz val="9.5"/>
      <name val="Gill Sans Nova Light"/>
      <family val="2"/>
    </font>
    <font>
      <sz val="12"/>
      <color rgb="FF000000"/>
      <name val="Gill Sans Nova Light"/>
      <family val="2"/>
    </font>
    <font>
      <b/>
      <sz val="10"/>
      <color rgb="FF000000"/>
      <name val="Gill Sans Nova Light"/>
      <family val="2"/>
    </font>
    <font>
      <sz val="11"/>
      <color rgb="FF000000"/>
      <name val="Gill Sans Nova Light"/>
      <family val="2"/>
    </font>
    <font>
      <sz val="15.5"/>
      <name val="Gill Sans Nova Light"/>
      <family val="2"/>
    </font>
    <font>
      <b/>
      <sz val="14"/>
      <name val="Gill Sans Nova Light"/>
      <family val="2"/>
    </font>
    <font>
      <b/>
      <sz val="9.5"/>
      <color rgb="FF3E3E3E"/>
      <name val="Gill Sans Nova Light"/>
      <family val="2"/>
    </font>
    <font>
      <sz val="10"/>
      <color rgb="FF000000"/>
      <name val="Times New Roman"/>
      <family val="1"/>
    </font>
    <font>
      <b/>
      <sz val="16"/>
      <color rgb="FF000000"/>
      <name val="Gill Sans Nova Light"/>
      <family val="2"/>
    </font>
    <font>
      <sz val="11"/>
      <color rgb="FF000000"/>
      <name val="Times New Roman"/>
      <family val="1"/>
    </font>
    <font>
      <b/>
      <sz val="11"/>
      <color rgb="FF000000"/>
      <name val="Gill Sans Nova Light"/>
      <family val="2"/>
    </font>
  </fonts>
  <fills count="4">
    <fill>
      <patternFill patternType="none"/>
    </fill>
    <fill>
      <patternFill patternType="gray125"/>
    </fill>
    <fill>
      <patternFill patternType="solid">
        <fgColor rgb="FFF1F1F1"/>
      </patternFill>
    </fill>
    <fill>
      <patternFill patternType="solid">
        <fgColor theme="1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3E3E3E"/>
      </bottom>
      <diagonal/>
    </border>
    <border>
      <left/>
      <right/>
      <top style="thin">
        <color rgb="FF000000"/>
      </top>
      <bottom style="thin">
        <color rgb="FF3E3E3E"/>
      </bottom>
      <diagonal/>
    </border>
    <border>
      <left/>
      <right style="thin">
        <color rgb="FF000000"/>
      </right>
      <top style="thin">
        <color rgb="FF000000"/>
      </top>
      <bottom style="thin">
        <color rgb="FF3E3E3E"/>
      </bottom>
      <diagonal/>
    </border>
    <border>
      <left style="thin">
        <color rgb="FF000000"/>
      </left>
      <right style="thin">
        <color rgb="FF3E3E3E"/>
      </right>
      <top style="thin">
        <color rgb="FF3E3E3E"/>
      </top>
      <bottom style="thin">
        <color rgb="FF3E3E3E"/>
      </bottom>
      <diagonal/>
    </border>
    <border>
      <left style="thin">
        <color rgb="FF3E3E3E"/>
      </left>
      <right style="thin">
        <color rgb="FF3E3E3E"/>
      </right>
      <top style="thin">
        <color rgb="FF3E3E3E"/>
      </top>
      <bottom style="thin">
        <color rgb="FF3E3E3E"/>
      </bottom>
      <diagonal/>
    </border>
    <border>
      <left style="thin">
        <color rgb="FF3E3E3E"/>
      </left>
      <right style="thin">
        <color rgb="FF000000"/>
      </right>
      <top style="thin">
        <color rgb="FF3E3E3E"/>
      </top>
      <bottom style="thin">
        <color rgb="FF000000"/>
      </bottom>
      <diagonal/>
    </border>
    <border>
      <left style="thin">
        <color rgb="FF3E3E3E"/>
      </left>
      <right style="thin">
        <color rgb="FF000000"/>
      </right>
      <top style="thin">
        <color rgb="FF3E3E3E"/>
      </top>
      <bottom style="thin">
        <color rgb="FF3E3E3E"/>
      </bottom>
      <diagonal/>
    </border>
    <border>
      <left style="thin">
        <color rgb="FF000000"/>
      </left>
      <right style="thin">
        <color rgb="FF000000"/>
      </right>
      <top style="thin">
        <color rgb="FF3E3E3E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3" fillId="0" borderId="0" applyFont="0" applyFill="0" applyBorder="0" applyAlignment="0" applyProtection="0"/>
  </cellStyleXfs>
  <cellXfs count="49">
    <xf numFmtId="0" fontId="0" fillId="0" borderId="0" xfId="0" applyAlignment="1">
      <alignment horizontal="left" vertical="top"/>
    </xf>
    <xf numFmtId="0" fontId="1" fillId="0" borderId="8" xfId="0" applyFont="1" applyBorder="1" applyAlignment="1">
      <alignment horizontal="center" vertical="top" wrapText="1"/>
    </xf>
    <xf numFmtId="0" fontId="1" fillId="0" borderId="9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wrapText="1"/>
    </xf>
    <xf numFmtId="0" fontId="3" fillId="0" borderId="8" xfId="0" applyFont="1" applyBorder="1" applyAlignment="1">
      <alignment horizontal="left" wrapText="1"/>
    </xf>
    <xf numFmtId="0" fontId="1" fillId="0" borderId="12" xfId="0" applyFont="1" applyBorder="1" applyAlignment="1">
      <alignment horizontal="center" vertical="top" wrapText="1"/>
    </xf>
    <xf numFmtId="0" fontId="1" fillId="0" borderId="12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center" wrapText="1"/>
    </xf>
    <xf numFmtId="8" fontId="4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 wrapText="1"/>
    </xf>
    <xf numFmtId="8" fontId="9" fillId="0" borderId="1" xfId="0" applyNumberFormat="1" applyFont="1" applyBorder="1" applyAlignment="1">
      <alignment horizontal="left" wrapText="1"/>
    </xf>
    <xf numFmtId="0" fontId="4" fillId="0" borderId="1" xfId="0" applyFont="1" applyBorder="1" applyAlignment="1">
      <alignment horizontal="left" wrapText="1"/>
    </xf>
    <xf numFmtId="0" fontId="3" fillId="0" borderId="0" xfId="0" applyFont="1" applyAlignment="1">
      <alignment horizontal="left" vertical="top"/>
    </xf>
    <xf numFmtId="0" fontId="3" fillId="2" borderId="8" xfId="0" applyFont="1" applyFill="1" applyBorder="1" applyAlignment="1">
      <alignment horizontal="left" vertical="center" wrapText="1"/>
    </xf>
    <xf numFmtId="0" fontId="5" fillId="2" borderId="9" xfId="0" applyFont="1" applyFill="1" applyBorder="1" applyAlignment="1">
      <alignment horizontal="center" vertical="top" wrapText="1"/>
    </xf>
    <xf numFmtId="0" fontId="5" fillId="2" borderId="10" xfId="0" applyFont="1" applyFill="1" applyBorder="1" applyAlignment="1">
      <alignment horizontal="left" vertical="top" wrapText="1" indent="4"/>
    </xf>
    <xf numFmtId="0" fontId="5" fillId="2" borderId="1" xfId="0" applyFont="1" applyFill="1" applyBorder="1" applyAlignment="1">
      <alignment horizontal="left" vertical="top" wrapText="1" indent="2"/>
    </xf>
    <xf numFmtId="0" fontId="14" fillId="0" borderId="0" xfId="0" applyFont="1" applyAlignment="1">
      <alignment horizontal="left" vertical="top"/>
    </xf>
    <xf numFmtId="14" fontId="14" fillId="0" borderId="0" xfId="0" applyNumberFormat="1" applyFont="1" applyAlignment="1">
      <alignment horizontal="left" vertical="top"/>
    </xf>
    <xf numFmtId="0" fontId="8" fillId="0" borderId="0" xfId="0" applyFont="1" applyAlignment="1">
      <alignment horizontal="left" vertical="top"/>
    </xf>
    <xf numFmtId="44" fontId="3" fillId="0" borderId="0" xfId="1" applyFont="1" applyAlignment="1"/>
    <xf numFmtId="8" fontId="3" fillId="0" borderId="0" xfId="1" applyNumberFormat="1" applyFont="1" applyAlignment="1"/>
    <xf numFmtId="0" fontId="15" fillId="0" borderId="0" xfId="0" applyFont="1" applyAlignment="1">
      <alignment horizontal="left" vertical="top"/>
    </xf>
    <xf numFmtId="0" fontId="16" fillId="0" borderId="13" xfId="0" applyFont="1" applyBorder="1" applyAlignment="1">
      <alignment horizontal="left" vertical="top"/>
    </xf>
    <xf numFmtId="8" fontId="16" fillId="0" borderId="14" xfId="0" applyNumberFormat="1" applyFont="1" applyBorder="1"/>
    <xf numFmtId="0" fontId="11" fillId="0" borderId="3" xfId="0" applyFont="1" applyBorder="1" applyAlignment="1">
      <alignment vertical="top" wrapText="1"/>
    </xf>
    <xf numFmtId="0" fontId="11" fillId="0" borderId="4" xfId="0" applyFont="1" applyBorder="1" applyAlignment="1">
      <alignment vertical="top" wrapText="1"/>
    </xf>
    <xf numFmtId="14" fontId="11" fillId="0" borderId="3" xfId="0" applyNumberFormat="1" applyFont="1" applyBorder="1" applyAlignment="1">
      <alignment vertical="top" wrapText="1"/>
    </xf>
    <xf numFmtId="0" fontId="3" fillId="3" borderId="8" xfId="0" applyFont="1" applyFill="1" applyBorder="1" applyAlignment="1">
      <alignment horizontal="left" wrapText="1"/>
    </xf>
    <xf numFmtId="0" fontId="3" fillId="3" borderId="9" xfId="0" applyFont="1" applyFill="1" applyBorder="1" applyAlignment="1">
      <alignment horizontal="left" wrapText="1"/>
    </xf>
    <xf numFmtId="0" fontId="8" fillId="3" borderId="1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left" wrapText="1"/>
    </xf>
    <xf numFmtId="0" fontId="3" fillId="3" borderId="1" xfId="0" applyFont="1" applyFill="1" applyBorder="1" applyAlignment="1">
      <alignment horizontal="center" wrapText="1"/>
    </xf>
    <xf numFmtId="0" fontId="4" fillId="3" borderId="1" xfId="0" applyFont="1" applyFill="1" applyBorder="1" applyAlignment="1">
      <alignment horizontal="center" wrapText="1"/>
    </xf>
    <xf numFmtId="0" fontId="3" fillId="0" borderId="0" xfId="0" applyFont="1" applyAlignment="1">
      <alignment horizontal="left" vertical="top" wrapText="1"/>
    </xf>
    <xf numFmtId="0" fontId="10" fillId="0" borderId="2" xfId="0" applyFont="1" applyBorder="1" applyAlignment="1">
      <alignment horizontal="left" vertical="center" wrapText="1" indent="41"/>
    </xf>
    <xf numFmtId="0" fontId="10" fillId="0" borderId="3" xfId="0" applyFont="1" applyBorder="1" applyAlignment="1">
      <alignment horizontal="left" vertical="center" wrapText="1" indent="41"/>
    </xf>
    <xf numFmtId="0" fontId="10" fillId="0" borderId="4" xfId="0" applyFont="1" applyBorder="1" applyAlignment="1">
      <alignment horizontal="left" vertical="center" wrapText="1" indent="41"/>
    </xf>
    <xf numFmtId="0" fontId="3" fillId="0" borderId="5" xfId="0" applyFont="1" applyBorder="1" applyAlignment="1">
      <alignment horizontal="left" wrapText="1"/>
    </xf>
    <xf numFmtId="0" fontId="3" fillId="0" borderId="6" xfId="0" applyFont="1" applyBorder="1" applyAlignment="1">
      <alignment horizontal="left" wrapText="1"/>
    </xf>
    <xf numFmtId="0" fontId="3" fillId="0" borderId="7" xfId="0" applyFont="1" applyBorder="1" applyAlignment="1">
      <alignment horizontal="left" wrapText="1"/>
    </xf>
    <xf numFmtId="0" fontId="5" fillId="0" borderId="2" xfId="0" applyFont="1" applyBorder="1" applyAlignment="1">
      <alignment horizontal="left" vertical="top" wrapText="1" indent="12"/>
    </xf>
    <xf numFmtId="0" fontId="3" fillId="0" borderId="3" xfId="0" applyFont="1" applyBorder="1" applyAlignment="1">
      <alignment horizontal="left" vertical="top" wrapText="1" indent="12"/>
    </xf>
    <xf numFmtId="0" fontId="3" fillId="0" borderId="4" xfId="0" applyFont="1" applyBorder="1" applyAlignment="1">
      <alignment horizontal="left" vertical="top" wrapText="1" indent="12"/>
    </xf>
    <xf numFmtId="0" fontId="11" fillId="0" borderId="2" xfId="0" applyFont="1" applyBorder="1" applyAlignment="1">
      <alignment horizontal="center" vertical="top" wrapText="1"/>
    </xf>
    <xf numFmtId="0" fontId="11" fillId="0" borderId="3" xfId="0" applyFont="1" applyBorder="1" applyAlignment="1">
      <alignment horizontal="center" vertical="top" wrapText="1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500743</xdr:colOff>
      <xdr:row>0</xdr:row>
      <xdr:rowOff>0</xdr:rowOff>
    </xdr:from>
    <xdr:ext cx="3743325" cy="814388"/>
    <xdr:pic>
      <xdr:nvPicPr>
        <xdr:cNvPr id="2" name="image1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03814" y="0"/>
          <a:ext cx="3743325" cy="814388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146957</xdr:colOff>
      <xdr:row>0</xdr:row>
      <xdr:rowOff>0</xdr:rowOff>
    </xdr:from>
    <xdr:to>
      <xdr:col>8</xdr:col>
      <xdr:colOff>478971</xdr:colOff>
      <xdr:row>3</xdr:row>
      <xdr:rowOff>27525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C6F0E87-5958-4D6E-9DAC-8217599919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39243" y="0"/>
          <a:ext cx="1899557" cy="6316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17"/>
  <sheetViews>
    <sheetView workbookViewId="0">
      <selection activeCell="A17" sqref="A17:E17"/>
    </sheetView>
  </sheetViews>
  <sheetFormatPr defaultColWidth="9.1796875" defaultRowHeight="13.3" x14ac:dyDescent="0.35"/>
  <cols>
    <col min="1" max="1" width="24.81640625" style="15" customWidth="1"/>
    <col min="2" max="2" width="22" style="15" customWidth="1"/>
    <col min="3" max="3" width="25.36328125" style="15" customWidth="1"/>
    <col min="4" max="4" width="24.1796875" style="15" customWidth="1"/>
    <col min="5" max="5" width="22.453125" style="15" customWidth="1"/>
    <col min="6" max="16384" width="9.1796875" style="15"/>
  </cols>
  <sheetData>
    <row r="1" spans="1:5" ht="66.75" customHeight="1" x14ac:dyDescent="0.35">
      <c r="A1" s="38"/>
      <c r="B1" s="39"/>
      <c r="C1" s="39"/>
      <c r="D1" s="39"/>
      <c r="E1" s="40"/>
    </row>
    <row r="2" spans="1:5" ht="21" customHeight="1" x14ac:dyDescent="0.35">
      <c r="A2" s="47" t="s">
        <v>15</v>
      </c>
      <c r="B2" s="48"/>
      <c r="C2" s="30">
        <f ca="1">TODAY()-1</f>
        <v>46193</v>
      </c>
      <c r="D2" s="28"/>
      <c r="E2" s="29"/>
    </row>
    <row r="3" spans="1:5" ht="10.1" customHeight="1" x14ac:dyDescent="0.4">
      <c r="A3" s="41"/>
      <c r="B3" s="42"/>
      <c r="C3" s="42"/>
      <c r="D3" s="42"/>
      <c r="E3" s="43"/>
    </row>
    <row r="4" spans="1:5" ht="26.05" customHeight="1" x14ac:dyDescent="0.35">
      <c r="A4" s="16"/>
      <c r="B4" s="17" t="s">
        <v>11</v>
      </c>
      <c r="C4" s="17" t="s">
        <v>12</v>
      </c>
      <c r="D4" s="18" t="s">
        <v>13</v>
      </c>
      <c r="E4" s="19" t="s">
        <v>14</v>
      </c>
    </row>
    <row r="5" spans="1:5" ht="21" customHeight="1" x14ac:dyDescent="0.45">
      <c r="A5" s="1" t="s">
        <v>5</v>
      </c>
      <c r="B5" s="2" t="s">
        <v>6</v>
      </c>
      <c r="C5" s="9">
        <v>0</v>
      </c>
      <c r="D5" s="3"/>
      <c r="E5" s="8"/>
    </row>
    <row r="6" spans="1:5" ht="21" customHeight="1" x14ac:dyDescent="0.45">
      <c r="A6" s="4"/>
      <c r="B6" s="2" t="s">
        <v>7</v>
      </c>
      <c r="C6" s="9">
        <v>0</v>
      </c>
      <c r="D6" s="13"/>
      <c r="E6" s="12"/>
    </row>
    <row r="7" spans="1:5" ht="21" customHeight="1" x14ac:dyDescent="0.45">
      <c r="A7" s="4"/>
      <c r="B7" s="2" t="s">
        <v>8</v>
      </c>
      <c r="C7" s="9">
        <v>0</v>
      </c>
      <c r="D7" s="3" t="s">
        <v>9</v>
      </c>
      <c r="E7" s="11"/>
    </row>
    <row r="8" spans="1:5" ht="6.55" customHeight="1" x14ac:dyDescent="0.4">
      <c r="A8" s="31"/>
      <c r="B8" s="32"/>
      <c r="C8" s="33"/>
      <c r="D8" s="34"/>
      <c r="E8" s="35"/>
    </row>
    <row r="9" spans="1:5" ht="21" customHeight="1" x14ac:dyDescent="0.45">
      <c r="A9" s="5" t="s">
        <v>0</v>
      </c>
      <c r="B9" s="6" t="s">
        <v>1</v>
      </c>
      <c r="C9" s="9">
        <v>0</v>
      </c>
      <c r="D9" s="3"/>
      <c r="E9" s="8"/>
    </row>
    <row r="10" spans="1:5" ht="21" customHeight="1" x14ac:dyDescent="0.45">
      <c r="A10" s="3"/>
      <c r="B10" s="7" t="s">
        <v>2</v>
      </c>
      <c r="C10" s="9">
        <v>0</v>
      </c>
      <c r="D10" s="3"/>
      <c r="E10" s="12"/>
    </row>
    <row r="11" spans="1:5" ht="21" customHeight="1" x14ac:dyDescent="0.45">
      <c r="A11" s="3"/>
      <c r="B11" s="7" t="s">
        <v>3</v>
      </c>
      <c r="C11" s="9">
        <v>10</v>
      </c>
      <c r="D11" s="13"/>
      <c r="E11" s="12" t="s">
        <v>16</v>
      </c>
    </row>
    <row r="12" spans="1:5" ht="6.55" customHeight="1" x14ac:dyDescent="0.45">
      <c r="A12" s="34"/>
      <c r="B12" s="34"/>
      <c r="C12" s="36"/>
      <c r="D12" s="34"/>
      <c r="E12" s="36"/>
    </row>
    <row r="13" spans="1:5" ht="21" customHeight="1" x14ac:dyDescent="0.45">
      <c r="A13" s="10" t="s">
        <v>4</v>
      </c>
      <c r="B13" s="7" t="s">
        <v>1</v>
      </c>
      <c r="C13" s="9">
        <v>0</v>
      </c>
      <c r="D13" s="3"/>
      <c r="E13" s="8"/>
    </row>
    <row r="14" spans="1:5" ht="21" customHeight="1" x14ac:dyDescent="0.45">
      <c r="A14" s="3"/>
      <c r="B14" s="7" t="s">
        <v>2</v>
      </c>
      <c r="C14" s="9">
        <v>0</v>
      </c>
      <c r="D14" s="3"/>
      <c r="E14" s="8"/>
    </row>
    <row r="15" spans="1:5" ht="21" customHeight="1" x14ac:dyDescent="0.45">
      <c r="A15" s="3"/>
      <c r="B15" s="7" t="s">
        <v>3</v>
      </c>
      <c r="C15" s="9">
        <v>0</v>
      </c>
      <c r="D15" s="3"/>
      <c r="E15" s="8"/>
    </row>
    <row r="16" spans="1:5" ht="21" customHeight="1" x14ac:dyDescent="0.45">
      <c r="A16" s="14" t="s">
        <v>10</v>
      </c>
      <c r="B16" s="3"/>
      <c r="C16" s="9">
        <f>SUM(C5:C15)</f>
        <v>10</v>
      </c>
      <c r="D16" s="3"/>
      <c r="E16" s="3"/>
    </row>
    <row r="17" spans="1:5" ht="88.1" customHeight="1" x14ac:dyDescent="0.35">
      <c r="A17" s="44" t="s">
        <v>27</v>
      </c>
      <c r="B17" s="45"/>
      <c r="C17" s="45"/>
      <c r="D17" s="45"/>
      <c r="E17" s="46"/>
    </row>
  </sheetData>
  <mergeCells count="4">
    <mergeCell ref="A1:E1"/>
    <mergeCell ref="A3:E3"/>
    <mergeCell ref="A17:E17"/>
    <mergeCell ref="A2:B2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156DC-8975-49E7-B41C-827713C51598}">
  <dimension ref="A1:M16"/>
  <sheetViews>
    <sheetView tabSelected="1" workbookViewId="0">
      <selection activeCell="B28" sqref="B28"/>
    </sheetView>
  </sheetViews>
  <sheetFormatPr defaultRowHeight="12.9" x14ac:dyDescent="0.35"/>
  <cols>
    <col min="1" max="1" width="23.1796875" bestFit="1" customWidth="1"/>
    <col min="2" max="2" width="17.90625" bestFit="1" customWidth="1"/>
  </cols>
  <sheetData>
    <row r="1" spans="1:13" ht="21" x14ac:dyDescent="0.35">
      <c r="A1" s="20" t="s">
        <v>17</v>
      </c>
      <c r="B1" s="21">
        <f ca="1">Valores!C2</f>
        <v>46193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</row>
    <row r="2" spans="1:13" ht="13.3" x14ac:dyDescent="0.35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</row>
    <row r="3" spans="1:13" ht="13.3" x14ac:dyDescent="0.35">
      <c r="A3" s="22" t="s">
        <v>18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</row>
    <row r="4" spans="1:13" ht="13.3" x14ac:dyDescent="0.4">
      <c r="A4" s="22" t="s">
        <v>19</v>
      </c>
      <c r="B4" s="24">
        <f>SUM(Valores!C5:C7)</f>
        <v>0</v>
      </c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</row>
    <row r="5" spans="1:13" ht="13.3" x14ac:dyDescent="0.4">
      <c r="A5" s="22" t="s">
        <v>20</v>
      </c>
      <c r="B5" s="24">
        <f>Valores!C11</f>
        <v>10</v>
      </c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</row>
    <row r="6" spans="1:13" ht="13.3" x14ac:dyDescent="0.4">
      <c r="A6" s="22" t="s">
        <v>21</v>
      </c>
      <c r="B6" s="24">
        <f>Valores!C16</f>
        <v>10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</row>
    <row r="7" spans="1:13" ht="13.3" x14ac:dyDescent="0.4">
      <c r="A7" s="15"/>
      <c r="B7" s="23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</row>
    <row r="8" spans="1:13" ht="13.3" x14ac:dyDescent="0.4">
      <c r="A8" s="22" t="s">
        <v>22</v>
      </c>
      <c r="B8" s="23">
        <v>0</v>
      </c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</row>
    <row r="9" spans="1:13" ht="15" x14ac:dyDescent="0.45">
      <c r="A9" s="26" t="s">
        <v>25</v>
      </c>
      <c r="B9" s="27">
        <f>B6-B8</f>
        <v>10</v>
      </c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</row>
    <row r="10" spans="1:13" ht="13.3" x14ac:dyDescent="0.35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</row>
    <row r="11" spans="1:13" ht="13.3" customHeight="1" x14ac:dyDescent="0.35">
      <c r="A11" s="22" t="s">
        <v>23</v>
      </c>
      <c r="B11" s="37" t="s">
        <v>26</v>
      </c>
      <c r="C11" s="37"/>
      <c r="D11" s="37"/>
      <c r="E11" s="37"/>
      <c r="F11" s="37"/>
      <c r="G11" s="37"/>
      <c r="H11" s="37"/>
      <c r="I11" s="37"/>
      <c r="J11" s="15"/>
      <c r="K11" s="15"/>
      <c r="L11" s="15"/>
      <c r="M11" s="15"/>
    </row>
    <row r="12" spans="1:13" ht="13.3" x14ac:dyDescent="0.35">
      <c r="A12" s="15"/>
      <c r="B12" s="37"/>
      <c r="C12" s="37"/>
      <c r="D12" s="37"/>
      <c r="E12" s="37"/>
      <c r="F12" s="37"/>
      <c r="G12" s="37"/>
      <c r="H12" s="37"/>
      <c r="I12" s="37"/>
      <c r="J12" s="15"/>
      <c r="K12" s="15"/>
      <c r="L12" s="15"/>
      <c r="M12" s="15"/>
    </row>
    <row r="13" spans="1:13" ht="13.3" x14ac:dyDescent="0.35">
      <c r="A13" s="22" t="s">
        <v>24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</row>
    <row r="16" spans="1:13" ht="14.15" x14ac:dyDescent="0.35">
      <c r="B16" s="25"/>
    </row>
  </sheetData>
  <mergeCells count="1">
    <mergeCell ref="B11:I12"/>
  </mergeCells>
  <pageMargins left="0.25" right="0.25" top="0.75" bottom="0.75" header="0.3" footer="0.3"/>
  <pageSetup paperSize="27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Valores</vt:lpstr>
      <vt:lpstr>Envelope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Receção - Mythic Downtown Suites</cp:lastModifiedBy>
  <cp:lastPrinted>2026-06-18T23:20:32Z</cp:lastPrinted>
  <dcterms:created xsi:type="dcterms:W3CDTF">2025-12-22T06:18:38Z</dcterms:created>
  <dcterms:modified xsi:type="dcterms:W3CDTF">2026-06-21T00:13:58Z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2025-10-08T00:00:00Z</vt:filetime>
  </property>
  <property fmtid="{D5CDD505-2E9C-101B-9397-08002B2CF9AE}" pid="3" name="LastSaved">
    <vt:filetime>2025-12-22T00:00:00Z</vt:filetime>
  </property>
</Properties>
</file>